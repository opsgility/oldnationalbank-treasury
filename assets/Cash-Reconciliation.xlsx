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Leg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22" customWidth="1" min="4" max="4"/>
  </cols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Date</t>
        </is>
      </c>
      <c r="D1" s="1" t="inlineStr">
        <is>
          <t>Bank Closing Balance</t>
        </is>
      </c>
    </row>
    <row r="2">
      <c r="A2" s="2" t="inlineStr">
        <is>
          <t>0010024571</t>
        </is>
      </c>
      <c r="B2" t="inlineStr">
        <is>
          <t>ONB Operating - Main</t>
        </is>
      </c>
      <c r="C2" s="3" t="n">
        <v>46185</v>
      </c>
      <c r="D2" s="4" t="n">
        <v>7107810.3</v>
      </c>
    </row>
    <row r="3">
      <c r="A3" s="2" t="inlineStr">
        <is>
          <t>0010024572</t>
        </is>
      </c>
      <c r="B3" t="inlineStr">
        <is>
          <t>ONB Concentration</t>
        </is>
      </c>
      <c r="C3" s="3" t="n">
        <v>46185</v>
      </c>
      <c r="D3" s="4" t="n">
        <v>5541502.4</v>
      </c>
    </row>
    <row r="4">
      <c r="A4" s="2" t="inlineStr">
        <is>
          <t>0024401190</t>
        </is>
      </c>
      <c r="B4" t="inlineStr">
        <is>
          <t>ONB Commercial Collections</t>
        </is>
      </c>
      <c r="C4" s="3" t="n">
        <v>46185</v>
      </c>
      <c r="D4" s="4" t="n">
        <v>2320294.38</v>
      </c>
    </row>
    <row r="5">
      <c r="A5" s="2" t="inlineStr">
        <is>
          <t>0024409921</t>
        </is>
      </c>
      <c r="B5" t="inlineStr">
        <is>
          <t>ONB Tax Reserve</t>
        </is>
      </c>
      <c r="C5" s="3" t="n">
        <v>46185</v>
      </c>
      <c r="D5" s="4" t="n">
        <v>3240830.76</v>
      </c>
    </row>
    <row r="6">
      <c r="A6" s="2" t="inlineStr">
        <is>
          <t>0024455017</t>
        </is>
      </c>
      <c r="B6" t="inlineStr">
        <is>
          <t>ONB Money Market Sweep</t>
        </is>
      </c>
      <c r="C6" s="3" t="n">
        <v>46185</v>
      </c>
      <c r="D6" s="4" t="n">
        <v>7879858.16</v>
      </c>
    </row>
    <row r="7">
      <c r="A7" s="2" t="inlineStr">
        <is>
          <t>7781200345</t>
        </is>
      </c>
      <c r="B7" t="inlineStr">
        <is>
          <t>ONB Wealth Subsidiary Ops</t>
        </is>
      </c>
      <c r="C7" s="3" t="n">
        <v>46185</v>
      </c>
      <c r="D7" s="4" t="n">
        <v>10176025.75</v>
      </c>
    </row>
    <row r="8">
      <c r="A8" s="2" t="inlineStr">
        <is>
          <t>7781200361</t>
        </is>
      </c>
      <c r="B8" t="inlineStr">
        <is>
          <t>ONB Wealth Custody Clearing</t>
        </is>
      </c>
      <c r="C8" s="3" t="n">
        <v>46185</v>
      </c>
      <c r="D8" s="4" t="n">
        <v>2959613.24</v>
      </c>
    </row>
    <row r="9">
      <c r="A9" s="2" t="inlineStr">
        <is>
          <t>7781299004</t>
        </is>
      </c>
      <c r="B9" t="inlineStr">
        <is>
          <t>ONB Canada Operating</t>
        </is>
      </c>
      <c r="C9" s="3" t="n">
        <v>46185</v>
      </c>
      <c r="D9" s="4" t="n">
        <v>4685919.56</v>
      </c>
    </row>
    <row r="10">
      <c r="A10" s="2" t="inlineStr">
        <is>
          <t>7781299018</t>
        </is>
      </c>
      <c r="B10" t="inlineStr">
        <is>
          <t>ONB FX Settlement</t>
        </is>
      </c>
      <c r="C10" s="3" t="n">
        <v>46185</v>
      </c>
      <c r="D10" s="4" t="n">
        <v>3447440.86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22" customWidth="1" min="4" max="4"/>
  </cols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Date</t>
        </is>
      </c>
      <c r="D1" s="1" t="inlineStr">
        <is>
          <t>Ledger Closing Balance</t>
        </is>
      </c>
    </row>
    <row r="2">
      <c r="A2" s="2" t="inlineStr">
        <is>
          <t>0010024571</t>
        </is>
      </c>
      <c r="B2" t="inlineStr">
        <is>
          <t>ONB Operating - Main</t>
        </is>
      </c>
      <c r="C2" s="3" t="n">
        <v>46185</v>
      </c>
      <c r="D2" s="4" t="n">
        <v>7107810.3</v>
      </c>
    </row>
    <row r="3">
      <c r="A3" s="2" t="inlineStr">
        <is>
          <t>0010024572</t>
        </is>
      </c>
      <c r="B3" t="inlineStr">
        <is>
          <t>ONB Concentration</t>
        </is>
      </c>
      <c r="C3" s="3" t="n">
        <v>46185</v>
      </c>
      <c r="D3" s="4" t="n">
        <v>5541502.4</v>
      </c>
    </row>
    <row r="4">
      <c r="A4" s="2" t="inlineStr">
        <is>
          <t>0010088730</t>
        </is>
      </c>
      <c r="B4" t="inlineStr">
        <is>
          <t>ONB Payroll Funding</t>
        </is>
      </c>
      <c r="C4" s="3" t="n">
        <v>46185</v>
      </c>
      <c r="D4" s="4" t="n">
        <v>1269568.81</v>
      </c>
    </row>
    <row r="5">
      <c r="A5" s="2" t="inlineStr">
        <is>
          <t>0024401190</t>
        </is>
      </c>
      <c r="B5" t="inlineStr">
        <is>
          <t>ONB Commercial Collections</t>
        </is>
      </c>
      <c r="C5" s="3" t="n">
        <v>46185</v>
      </c>
      <c r="D5" s="4" t="n">
        <v>2320606.84</v>
      </c>
    </row>
    <row r="6">
      <c r="A6" s="2" t="inlineStr">
        <is>
          <t>0024409921</t>
        </is>
      </c>
      <c r="B6" t="inlineStr">
        <is>
          <t>ONB Tax Reserve</t>
        </is>
      </c>
      <c r="C6" s="3" t="n">
        <v>46185</v>
      </c>
      <c r="D6" s="4" t="n">
        <v>3240830.76</v>
      </c>
    </row>
    <row r="7">
      <c r="A7" s="2" t="inlineStr">
        <is>
          <t>0024455017</t>
        </is>
      </c>
      <c r="B7" t="inlineStr">
        <is>
          <t>ONB Money Market Sweep</t>
        </is>
      </c>
      <c r="C7" s="3" t="n">
        <v>46185</v>
      </c>
      <c r="D7" s="4" t="n">
        <v>7731608.16</v>
      </c>
    </row>
    <row r="8">
      <c r="A8" s="2" t="inlineStr">
        <is>
          <t>7781200345</t>
        </is>
      </c>
      <c r="B8" t="inlineStr">
        <is>
          <t>ONB Wealth Subsidiary Ops</t>
        </is>
      </c>
      <c r="C8" s="3" t="n">
        <v>46185</v>
      </c>
      <c r="D8" s="4" t="n">
        <v>10176025.75</v>
      </c>
    </row>
    <row r="9">
      <c r="A9" s="2" t="inlineStr">
        <is>
          <t>7781200361</t>
        </is>
      </c>
      <c r="B9" t="inlineStr">
        <is>
          <t>ONB Wealth Custody Clearing</t>
        </is>
      </c>
      <c r="C9" s="3" t="n">
        <v>46185</v>
      </c>
      <c r="D9" s="4" t="n">
        <v>2959613.24</v>
      </c>
    </row>
    <row r="10">
      <c r="A10" s="2" t="inlineStr">
        <is>
          <t>7781299004</t>
        </is>
      </c>
      <c r="B10" t="inlineStr">
        <is>
          <t>ONB Canada Operating</t>
        </is>
      </c>
      <c r="C10" s="3" t="n">
        <v>46185</v>
      </c>
      <c r="D10" s="4" t="n">
        <v>4685919.56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</cols>
  <sheetData>
    <row r="1">
      <c r="A1" s="5" t="inlineStr">
        <is>
          <t>Inherited variance workbook (for 'explain the formula' practice)</t>
        </is>
      </c>
    </row>
    <row r="3">
      <c r="A3" s="1" t="inlineStr">
        <is>
          <t>Account ID</t>
        </is>
      </c>
      <c r="B3" s="1" t="inlineStr">
        <is>
          <t>Bank Bal</t>
        </is>
      </c>
      <c r="C3" s="1" t="inlineStr">
        <is>
          <t>Ledger Bal</t>
        </is>
      </c>
      <c r="D3" s="1" t="inlineStr">
        <is>
          <t>Legacy Variance Flag</t>
        </is>
      </c>
    </row>
    <row r="4">
      <c r="A4" s="2" t="inlineStr">
        <is>
          <t>0010024571</t>
        </is>
      </c>
      <c r="B4" s="4" t="n">
        <v>7107810.3</v>
      </c>
      <c r="C4" s="4" t="n">
        <v>7107810.3</v>
      </c>
      <c r="D4">
        <f>IF(ABS(B4-C4)&gt;100,IF(B4&gt;C4,"BANK HIGH","LEDGER HIGH"),"OK")</f>
        <v/>
      </c>
    </row>
    <row r="5">
      <c r="A5" s="2" t="inlineStr">
        <is>
          <t>0010024572</t>
        </is>
      </c>
      <c r="B5" s="4" t="n">
        <v>5541502.4</v>
      </c>
      <c r="C5" s="4" t="n">
        <v>5541502.4</v>
      </c>
      <c r="D5">
        <f>IF(ABS(B5-C5)&gt;100,IF(B5&gt;C5,"BANK HIGH","LEDGER HIGH"),"OK")</f>
        <v/>
      </c>
    </row>
    <row r="6">
      <c r="A6" s="2" t="inlineStr">
        <is>
          <t>0010088730</t>
        </is>
      </c>
      <c r="B6" s="4" t="n">
        <v>1269568.81</v>
      </c>
      <c r="C6" s="4" t="n">
        <v>1269568.81</v>
      </c>
      <c r="D6">
        <f>IF(ABS(B6-C6)&gt;100,IF(B6&gt;C6,"BANK HIGH","LEDGER HIGH"),"OK")</f>
        <v/>
      </c>
    </row>
    <row r="7">
      <c r="A7" s="2" t="inlineStr">
        <is>
          <t>0024401190</t>
        </is>
      </c>
      <c r="B7" s="4" t="n">
        <v>2320294.38</v>
      </c>
      <c r="C7" s="4" t="n">
        <v>2320606.84</v>
      </c>
      <c r="D7">
        <f>IF(ABS(B7-C7)&gt;100,IF(B7&gt;C7,"BANK HIGH","LEDGER HIGH"),"OK")</f>
        <v/>
      </c>
    </row>
    <row r="8">
      <c r="A8" s="2" t="inlineStr">
        <is>
          <t>0024409921</t>
        </is>
      </c>
      <c r="B8" s="4" t="n">
        <v>3240830.76</v>
      </c>
      <c r="C8" s="4" t="n">
        <v>3240830.76</v>
      </c>
      <c r="D8">
        <f>IF(ABS(B8-C8)&gt;100,IF(B8&gt;C8,"BANK HIGH","LEDGER HIGH"),"OK")</f>
        <v/>
      </c>
    </row>
    <row r="9">
      <c r="A9" s="2" t="inlineStr">
        <is>
          <t>0024455017</t>
        </is>
      </c>
      <c r="B9" s="4" t="n">
        <v>7879858.16</v>
      </c>
      <c r="C9" s="4" t="n">
        <v>7731608.16</v>
      </c>
      <c r="D9">
        <f>IF(ABS(B9-C9)&gt;100,IF(B9&gt;C9,"BANK HIGH","LEDGER HIGH"),"OK")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2026-06-14T15:21:41Z</dcterms:created>
  <dcterms:modified xmlns:dcterms="http://purl.org/dc/terms/" xmlns:xsi="http://www.w3.org/2001/XMLSchema-instance" xsi:type="dcterms:W3CDTF">2026-06-14T15:21:41Z</dcterms:modified>
</cp:coreProperties>
</file>